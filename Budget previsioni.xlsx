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START2IMPACT\"/>
    </mc:Choice>
  </mc:AlternateContent>
  <xr:revisionPtr revIDLastSave="0" documentId="8_{C042E468-C34E-46D1-B10A-EEA922188CAA}" xr6:coauthVersionLast="47" xr6:coauthVersionMax="47" xr10:uidLastSave="{00000000-0000-0000-0000-000000000000}"/>
  <bookViews>
    <workbookView xWindow="-108" yWindow="-108" windowWidth="23256" windowHeight="12456" xr2:uid="{13DC1F69-44D6-4137-B884-045F54D5AD8C}"/>
  </bookViews>
  <sheets>
    <sheet name="Riepilogo_scenari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4" i="2" s="1"/>
  <c r="B21" i="2"/>
  <c r="B20" i="2"/>
  <c r="B19" i="2"/>
  <c r="B13" i="2"/>
</calcChain>
</file>

<file path=xl/sharedStrings.xml><?xml version="1.0" encoding="utf-8"?>
<sst xmlns="http://schemas.openxmlformats.org/spreadsheetml/2006/main" count="43" uniqueCount="43">
  <si>
    <t>Riepilogo scenari</t>
  </si>
  <si>
    <t>Valori correnti:</t>
  </si>
  <si>
    <t>Valori originali</t>
  </si>
  <si>
    <t>Media locale</t>
  </si>
  <si>
    <t>Locale di grandi dimensioni</t>
  </si>
  <si>
    <t>Locale di dimensioni enormi</t>
  </si>
  <si>
    <t>Valori iniziati</t>
  </si>
  <si>
    <t>Celle variabili:</t>
  </si>
  <si>
    <t>$B$4</t>
  </si>
  <si>
    <t>$B$6</t>
  </si>
  <si>
    <t>$B$7</t>
  </si>
  <si>
    <t>$B$8</t>
  </si>
  <si>
    <t>$B$9</t>
  </si>
  <si>
    <t>$B$10</t>
  </si>
  <si>
    <t>$B$11</t>
  </si>
  <si>
    <t>$B$12</t>
  </si>
  <si>
    <t>$B$17</t>
  </si>
  <si>
    <t>Celle risultato:</t>
  </si>
  <si>
    <t>$B$24</t>
  </si>
  <si>
    <t>Note: la colonna Valori correnti riporta i valori delle celle variabili nel</t>
  </si>
  <si>
    <t>momento in cui il Riepilogo scenari è stato creato. Le celle variabili</t>
  </si>
  <si>
    <t>sono evidenziate in grigio.</t>
  </si>
  <si>
    <t>Concert Budget</t>
  </si>
  <si>
    <t>La gestione scenari serve per l'analisi dei dati e permette di creare e salvare dei gruppi di valori per poterli poi confrontare nei diversi scenari per sapere 'cosa potrebbe succedere nel caso migliore, peggiore e medio'. In parole semplici viene utilizzato per pianificare il budget come sfruttarlo al meglio effettuando questo tipo di previsioni.</t>
  </si>
  <si>
    <t>Costi</t>
  </si>
  <si>
    <t>Posti a sedere</t>
  </si>
  <si>
    <t>Talento</t>
  </si>
  <si>
    <t>Locale di affitto</t>
  </si>
  <si>
    <t>Amplificazione</t>
  </si>
  <si>
    <t>Luci</t>
  </si>
  <si>
    <t>Biglietti</t>
  </si>
  <si>
    <t>Sicurezza</t>
  </si>
  <si>
    <t>Assicurazione</t>
  </si>
  <si>
    <t>Costi totali</t>
  </si>
  <si>
    <t>Ricavi</t>
  </si>
  <si>
    <t>Prezzo biglietto</t>
  </si>
  <si>
    <t>Vendite biglietti</t>
  </si>
  <si>
    <t>Merchandising</t>
  </si>
  <si>
    <t>5 dollari per posto a sedere</t>
  </si>
  <si>
    <t>Cibo e drink</t>
  </si>
  <si>
    <t>15 dollari per posto a sedere</t>
  </si>
  <si>
    <t>Ricavi totali</t>
  </si>
  <si>
    <t>Profitto o perdita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</si>
</sst>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* #,##0.00&quot; &quot;[$€]&quot; &quot;;&quot;-&quot;* #,##0.00&quot; &quot;[$€]&quot; &quot;;&quot; &quot;* &quot;-&quot;#&quot; &quot;[$€]&quot; &quot;;&quot; &quot;@&quot; &quot;"/>
  </numFmts>
  <fonts count="7" x14ac:knownFonts="1">
    <font>
      <sz val="11"/>
      <color rgb="FF000000"/>
      <name val="Aptos Narrow"/>
      <family val="2"/>
    </font>
    <font>
      <b/>
      <sz val="12"/>
      <color rgb="FFFFFFFF"/>
      <name val="Aptos Narrow"/>
      <family val="2"/>
    </font>
    <font>
      <sz val="10"/>
      <color rgb="FFFFFFFF"/>
      <name val="Aptos Narrow"/>
      <family val="2"/>
    </font>
    <font>
      <b/>
      <sz val="11"/>
      <color rgb="FF000000"/>
      <name val="Aptos Narrow"/>
      <family val="2"/>
    </font>
    <font>
      <sz val="8"/>
      <color rgb="FF000000"/>
      <name val="Aptos Narrow"/>
      <family val="2"/>
    </font>
    <font>
      <b/>
      <sz val="11"/>
      <color rgb="FF000080"/>
      <name val="Aptos Narrow"/>
      <family val="2"/>
    </font>
    <font>
      <b/>
      <sz val="11"/>
      <color rgb="FFFFFF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  <fill>
      <patternFill patternType="solid">
        <fgColor rgb="FF215C98"/>
        <bgColor rgb="FF215C98"/>
      </patternFill>
    </fill>
    <fill>
      <patternFill patternType="solid">
        <fgColor rgb="FF00B0F0"/>
        <bgColor rgb="FF00B0F0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vertical="top" wrapText="1"/>
    </xf>
    <xf numFmtId="0" fontId="5" fillId="3" borderId="3" xfId="0" applyFont="1" applyFill="1" applyBorder="1" applyAlignment="1">
      <alignment horizontal="left"/>
    </xf>
    <xf numFmtId="0" fontId="0" fillId="0" borderId="3" xfId="0" applyBorder="1"/>
    <xf numFmtId="0" fontId="0" fillId="3" borderId="0" xfId="0" applyFill="1"/>
    <xf numFmtId="0" fontId="3" fillId="3" borderId="4" xfId="0" applyFont="1" applyFill="1" applyBorder="1" applyAlignment="1">
      <alignment horizontal="left"/>
    </xf>
    <xf numFmtId="0" fontId="0" fillId="0" borderId="4" xfId="0" applyBorder="1"/>
    <xf numFmtId="0" fontId="6" fillId="4" borderId="0" xfId="0" applyFont="1" applyFill="1"/>
    <xf numFmtId="0" fontId="0" fillId="4" borderId="0" xfId="0" applyFill="1"/>
    <xf numFmtId="0" fontId="6" fillId="5" borderId="0" xfId="0" applyFont="1" applyFill="1"/>
    <xf numFmtId="0" fontId="3" fillId="0" borderId="0" xfId="0" applyFont="1"/>
    <xf numFmtId="0" fontId="0" fillId="5" borderId="0" xfId="0" applyFill="1"/>
    <xf numFmtId="0" fontId="6" fillId="6" borderId="0" xfId="0" applyFont="1" applyFill="1"/>
    <xf numFmtId="164" fontId="0" fillId="0" borderId="0" xfId="0" applyNumberFormat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0" fillId="0" borderId="0" xfId="0" applyAlignment="1">
      <alignment horizontal="left" vertical="top" wrapText="1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419-A778-40DC-9075-888F4BAAED38}">
  <dimension ref="B1:H19"/>
  <sheetViews>
    <sheetView tabSelected="1" workbookViewId="0"/>
  </sheetViews>
  <sheetFormatPr defaultRowHeight="14.4" outlineLevelRow="1" outlineLevelCol="1" x14ac:dyDescent="0.3"/>
  <cols>
    <col min="1" max="2" width="8.88671875" customWidth="1"/>
    <col min="3" max="3" width="6.109375" bestFit="1" customWidth="1"/>
    <col min="4" max="8" width="22.6640625" bestFit="1" customWidth="1" outlineLevel="1"/>
    <col min="9" max="9" width="8.88671875" customWidth="1"/>
  </cols>
  <sheetData>
    <row r="1" spans="2:8" thickBot="1" x14ac:dyDescent="0.3"/>
    <row r="2" spans="2:8" ht="15.6" x14ac:dyDescent="0.3">
      <c r="B2" s="1" t="s">
        <v>0</v>
      </c>
      <c r="C2" s="1"/>
      <c r="D2" s="2"/>
      <c r="E2" s="2"/>
      <c r="F2" s="2"/>
      <c r="G2" s="2"/>
      <c r="H2" s="2"/>
    </row>
    <row r="3" spans="2:8" ht="15.6" x14ac:dyDescent="0.3">
      <c r="B3" s="3"/>
      <c r="C3" s="3"/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2:8" hidden="1" outlineLevel="1" x14ac:dyDescent="0.3">
      <c r="B4" s="5"/>
      <c r="C4" s="5"/>
      <c r="E4" s="6" t="s">
        <v>6</v>
      </c>
      <c r="F4" s="6"/>
      <c r="G4" s="6"/>
      <c r="H4" s="6"/>
    </row>
    <row r="5" spans="2:8" collapsed="1" x14ac:dyDescent="0.3">
      <c r="B5" s="7" t="s">
        <v>7</v>
      </c>
      <c r="C5" s="7"/>
      <c r="D5" s="8"/>
      <c r="E5" s="8"/>
      <c r="F5" s="8"/>
      <c r="G5" s="8"/>
      <c r="H5" s="8"/>
    </row>
    <row r="6" spans="2:8" outlineLevel="1" x14ac:dyDescent="0.3">
      <c r="B6" s="5"/>
      <c r="C6" s="5" t="s">
        <v>8</v>
      </c>
      <c r="D6">
        <v>300</v>
      </c>
      <c r="E6" s="9">
        <v>300</v>
      </c>
      <c r="F6" s="9">
        <v>800</v>
      </c>
      <c r="G6" s="9">
        <v>1500</v>
      </c>
      <c r="H6" s="9">
        <v>5000</v>
      </c>
    </row>
    <row r="7" spans="2:8" outlineLevel="1" x14ac:dyDescent="0.3">
      <c r="B7" s="5"/>
      <c r="C7" s="5" t="s">
        <v>9</v>
      </c>
      <c r="D7">
        <v>4000</v>
      </c>
      <c r="E7" s="9">
        <v>4000</v>
      </c>
      <c r="F7" s="9">
        <v>7500</v>
      </c>
      <c r="G7" s="9">
        <v>12000</v>
      </c>
      <c r="H7" s="9">
        <v>25000</v>
      </c>
    </row>
    <row r="8" spans="2:8" outlineLevel="1" x14ac:dyDescent="0.3">
      <c r="B8" s="5"/>
      <c r="C8" s="5" t="s">
        <v>10</v>
      </c>
      <c r="D8">
        <v>500</v>
      </c>
      <c r="E8" s="9">
        <v>500</v>
      </c>
      <c r="F8" s="9">
        <v>1000</v>
      </c>
      <c r="G8" s="9">
        <v>3500</v>
      </c>
      <c r="H8" s="9">
        <v>10000</v>
      </c>
    </row>
    <row r="9" spans="2:8" outlineLevel="1" x14ac:dyDescent="0.3">
      <c r="B9" s="5"/>
      <c r="C9" s="5" t="s">
        <v>11</v>
      </c>
      <c r="D9">
        <v>300</v>
      </c>
      <c r="E9" s="9">
        <v>300</v>
      </c>
      <c r="F9" s="9">
        <v>600</v>
      </c>
      <c r="G9" s="9">
        <v>1000</v>
      </c>
      <c r="H9" s="9">
        <v>2500</v>
      </c>
    </row>
    <row r="10" spans="2:8" outlineLevel="1" x14ac:dyDescent="0.3">
      <c r="B10" s="5"/>
      <c r="C10" s="5" t="s">
        <v>12</v>
      </c>
      <c r="D10">
        <v>250</v>
      </c>
      <c r="E10" s="9">
        <v>250</v>
      </c>
      <c r="F10" s="9">
        <v>350</v>
      </c>
      <c r="G10" s="9">
        <v>700</v>
      </c>
      <c r="H10" s="9">
        <v>2000</v>
      </c>
    </row>
    <row r="11" spans="2:8" outlineLevel="1" x14ac:dyDescent="0.3">
      <c r="B11" s="5"/>
      <c r="C11" s="5" t="s">
        <v>13</v>
      </c>
      <c r="D11">
        <v>200</v>
      </c>
      <c r="E11" s="9">
        <v>200</v>
      </c>
      <c r="F11" s="9">
        <v>250</v>
      </c>
      <c r="G11" s="9">
        <v>350</v>
      </c>
      <c r="H11" s="9">
        <v>500</v>
      </c>
    </row>
    <row r="12" spans="2:8" outlineLevel="1" x14ac:dyDescent="0.3">
      <c r="B12" s="5"/>
      <c r="C12" s="5" t="s">
        <v>14</v>
      </c>
      <c r="D12">
        <v>150</v>
      </c>
      <c r="E12" s="9">
        <v>150</v>
      </c>
      <c r="F12" s="9">
        <v>300</v>
      </c>
      <c r="G12" s="9">
        <v>1000</v>
      </c>
      <c r="H12" s="9">
        <v>2500</v>
      </c>
    </row>
    <row r="13" spans="2:8" outlineLevel="1" x14ac:dyDescent="0.3">
      <c r="B13" s="5"/>
      <c r="C13" s="5" t="s">
        <v>15</v>
      </c>
      <c r="D13">
        <v>100</v>
      </c>
      <c r="E13" s="9">
        <v>100</v>
      </c>
      <c r="F13" s="9">
        <v>250</v>
      </c>
      <c r="G13" s="9">
        <v>500</v>
      </c>
      <c r="H13" s="9">
        <v>2500</v>
      </c>
    </row>
    <row r="14" spans="2:8" outlineLevel="1" x14ac:dyDescent="0.3">
      <c r="B14" s="5"/>
      <c r="C14" s="5" t="s">
        <v>16</v>
      </c>
      <c r="D14">
        <v>30</v>
      </c>
      <c r="E14" s="9">
        <v>30</v>
      </c>
      <c r="F14" s="9">
        <v>35</v>
      </c>
      <c r="G14" s="9">
        <v>50</v>
      </c>
      <c r="H14" s="9">
        <v>50</v>
      </c>
    </row>
    <row r="15" spans="2:8" x14ac:dyDescent="0.3">
      <c r="B15" s="7" t="s">
        <v>17</v>
      </c>
      <c r="C15" s="7"/>
      <c r="D15" s="8"/>
      <c r="E15" s="8"/>
      <c r="F15" s="8"/>
      <c r="G15" s="8"/>
      <c r="H15" s="8"/>
    </row>
    <row r="16" spans="2:8" outlineLevel="1" thickBot="1" x14ac:dyDescent="0.3">
      <c r="B16" s="10"/>
      <c r="C16" s="10" t="s">
        <v>18</v>
      </c>
      <c r="D16" s="11">
        <v>9500</v>
      </c>
      <c r="E16" s="11">
        <v>9500</v>
      </c>
      <c r="F16" s="11">
        <v>33750</v>
      </c>
      <c r="G16" s="11">
        <v>85950</v>
      </c>
      <c r="H16" s="11">
        <v>305000</v>
      </c>
    </row>
    <row r="17" spans="2:2" x14ac:dyDescent="0.3">
      <c r="B17" t="s">
        <v>19</v>
      </c>
    </row>
    <row r="18" spans="2:2" x14ac:dyDescent="0.3">
      <c r="B18" t="s">
        <v>20</v>
      </c>
    </row>
    <row r="19" spans="2:2" x14ac:dyDescent="0.3">
      <c r="B19" t="s">
        <v>21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4B03-22B8-4DA7-80DC-107102894B23}">
  <dimension ref="A1:I24"/>
  <sheetViews>
    <sheetView workbookViewId="0"/>
  </sheetViews>
  <sheetFormatPr defaultRowHeight="14.4" x14ac:dyDescent="0.3"/>
  <cols>
    <col min="1" max="1" width="17.5546875" customWidth="1"/>
    <col min="2" max="2" width="15.6640625" customWidth="1"/>
    <col min="3" max="3" width="23.109375" customWidth="1"/>
    <col min="4" max="8" width="8.88671875" customWidth="1"/>
    <col min="9" max="9" width="44" customWidth="1"/>
    <col min="10" max="10" width="8.88671875" customWidth="1"/>
  </cols>
  <sheetData>
    <row r="1" spans="1:9" x14ac:dyDescent="0.3">
      <c r="A1" s="12" t="s">
        <v>22</v>
      </c>
      <c r="B1" s="13"/>
      <c r="I1" s="22" t="s">
        <v>23</v>
      </c>
    </row>
    <row r="2" spans="1:9" x14ac:dyDescent="0.3">
      <c r="I2" s="22"/>
    </row>
    <row r="3" spans="1:9" x14ac:dyDescent="0.3">
      <c r="A3" s="14" t="s">
        <v>24</v>
      </c>
      <c r="I3" s="22"/>
    </row>
    <row r="4" spans="1:9" x14ac:dyDescent="0.3">
      <c r="A4" t="s">
        <v>25</v>
      </c>
      <c r="B4">
        <v>300</v>
      </c>
      <c r="I4" s="22"/>
    </row>
    <row r="5" spans="1:9" x14ac:dyDescent="0.3">
      <c r="I5" s="22"/>
    </row>
    <row r="6" spans="1:9" x14ac:dyDescent="0.3">
      <c r="A6" t="s">
        <v>26</v>
      </c>
      <c r="B6">
        <v>4000</v>
      </c>
      <c r="I6" s="22"/>
    </row>
    <row r="7" spans="1:9" x14ac:dyDescent="0.3">
      <c r="A7" t="s">
        <v>27</v>
      </c>
      <c r="B7">
        <v>500</v>
      </c>
      <c r="I7" s="22"/>
    </row>
    <row r="8" spans="1:9" x14ac:dyDescent="0.3">
      <c r="A8" t="s">
        <v>28</v>
      </c>
      <c r="B8">
        <v>300</v>
      </c>
      <c r="I8" s="22"/>
    </row>
    <row r="9" spans="1:9" x14ac:dyDescent="0.3">
      <c r="A9" t="s">
        <v>29</v>
      </c>
      <c r="B9">
        <v>250</v>
      </c>
      <c r="I9" s="22"/>
    </row>
    <row r="10" spans="1:9" x14ac:dyDescent="0.3">
      <c r="A10" t="s">
        <v>30</v>
      </c>
      <c r="B10">
        <v>200</v>
      </c>
      <c r="I10" s="22"/>
    </row>
    <row r="11" spans="1:9" x14ac:dyDescent="0.3">
      <c r="A11" t="s">
        <v>31</v>
      </c>
      <c r="B11">
        <v>150</v>
      </c>
      <c r="I11" s="22"/>
    </row>
    <row r="12" spans="1:9" x14ac:dyDescent="0.3">
      <c r="A12" t="s">
        <v>32</v>
      </c>
      <c r="B12">
        <v>100</v>
      </c>
      <c r="I12" s="22"/>
    </row>
    <row r="13" spans="1:9" x14ac:dyDescent="0.3">
      <c r="A13" s="15" t="s">
        <v>33</v>
      </c>
      <c r="B13" s="16">
        <f>SUM(B6:B12)</f>
        <v>5500</v>
      </c>
      <c r="I13" s="22"/>
    </row>
    <row r="14" spans="1:9" x14ac:dyDescent="0.3">
      <c r="I14" s="22"/>
    </row>
    <row r="15" spans="1:9" x14ac:dyDescent="0.3">
      <c r="I15" s="22"/>
    </row>
    <row r="16" spans="1:9" x14ac:dyDescent="0.3">
      <c r="A16" s="17" t="s">
        <v>34</v>
      </c>
      <c r="I16" s="22"/>
    </row>
    <row r="17" spans="1:9" x14ac:dyDescent="0.3">
      <c r="A17" t="s">
        <v>35</v>
      </c>
      <c r="B17">
        <v>30</v>
      </c>
      <c r="I17" s="22"/>
    </row>
    <row r="19" spans="1:9" x14ac:dyDescent="0.3">
      <c r="A19" t="s">
        <v>36</v>
      </c>
      <c r="B19">
        <f>B4*B17</f>
        <v>9000</v>
      </c>
    </row>
    <row r="20" spans="1:9" x14ac:dyDescent="0.3">
      <c r="A20" t="s">
        <v>37</v>
      </c>
      <c r="B20">
        <f>5*B4</f>
        <v>1500</v>
      </c>
      <c r="C20" s="18" t="s">
        <v>38</v>
      </c>
    </row>
    <row r="21" spans="1:9" x14ac:dyDescent="0.3">
      <c r="A21" t="s">
        <v>39</v>
      </c>
      <c r="B21">
        <f>15*B4</f>
        <v>4500</v>
      </c>
      <c r="C21" t="s">
        <v>40</v>
      </c>
    </row>
    <row r="22" spans="1:9" x14ac:dyDescent="0.3">
      <c r="A22" s="15" t="s">
        <v>41</v>
      </c>
      <c r="B22" s="19">
        <f>SUM(B19:B21)</f>
        <v>15000</v>
      </c>
    </row>
    <row r="23" spans="1:9" x14ac:dyDescent="0.3">
      <c r="A23" s="15"/>
    </row>
    <row r="24" spans="1:9" x14ac:dyDescent="0.3">
      <c r="A24" s="20" t="s">
        <v>42</v>
      </c>
      <c r="B24" s="21">
        <f>B22-B13</f>
        <v>9500</v>
      </c>
    </row>
  </sheetData>
  <scenarios current="0" show="0">
    <scenario name="Valori originali" locked="1" count="9" comment="Valori iniziati">
      <inputCells r="B4" val="300"/>
      <inputCells r="B6" val="4000"/>
      <inputCells r="B7" val="500"/>
      <inputCells r="B8" val="300"/>
      <inputCells r="B9" val="250"/>
      <inputCells r="B10" val="200"/>
      <inputCells r="B11" val="150"/>
      <inputCells r="B12" val="100"/>
      <inputCells r="B17" val="30"/>
    </scenario>
    <scenario name="Media locale" locked="1" count="9">
      <inputCells r="B4" val="800"/>
      <inputCells r="B6" val="7500"/>
      <inputCells r="B7" val="1000"/>
      <inputCells r="B8" val="600"/>
      <inputCells r="B9" val="350"/>
      <inputCells r="B10" val="250"/>
      <inputCells r="B11" val="300"/>
      <inputCells r="B12" val="250"/>
      <inputCells r="B17" val="35"/>
    </scenario>
    <scenario name="Locale di grandi dimensioni" locked="1" count="9">
      <inputCells r="B4" val="1500"/>
      <inputCells r="B6" val="12000"/>
      <inputCells r="B7" val="3500"/>
      <inputCells r="B8" val="1000"/>
      <inputCells r="B9" val="700"/>
      <inputCells r="B10" val="350"/>
      <inputCells r="B11" val="1000"/>
      <inputCells r="B12" val="500"/>
      <inputCells r="B17" val="50"/>
    </scenario>
    <scenario name="Locale di dimensioni enormi" locked="1" count="9">
      <inputCells r="B4" val="5000"/>
      <inputCells r="B6" val="25000"/>
      <inputCells r="B7" val="10000"/>
      <inputCells r="B8" val="2500"/>
      <inputCells r="B9" val="2000"/>
      <inputCells r="B10" val="500"/>
      <inputCells r="B11" val="2500"/>
      <inputCells r="B12" val="2500"/>
      <inputCells r="B17" val="50"/>
    </scenario>
  </scenarios>
  <mergeCells count="1">
    <mergeCell ref="I1:I17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Riepilogo_scenari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Slora</dc:creator>
  <cp:lastModifiedBy>Alessia Slora</cp:lastModifiedBy>
  <dcterms:created xsi:type="dcterms:W3CDTF">2024-07-19T13:13:31Z</dcterms:created>
  <dcterms:modified xsi:type="dcterms:W3CDTF">2024-08-09T14:36:29Z</dcterms:modified>
</cp:coreProperties>
</file>